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0" documentId="8_{6D34075F-EABB-432F-BB32-84513B7CC9E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arterly Distribu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/>
  <c r="B8" i="1"/>
  <c r="B11" i="1" s="1"/>
  <c r="B17" i="1" l="1"/>
  <c r="B16" i="1"/>
  <c r="B12" i="1"/>
  <c r="B10" i="1"/>
  <c r="B9" i="1"/>
</calcChain>
</file>

<file path=xl/sharedStrings.xml><?xml version="1.0" encoding="utf-8"?>
<sst xmlns="http://schemas.openxmlformats.org/spreadsheetml/2006/main" count="21" uniqueCount="21">
  <si>
    <t>Input</t>
  </si>
  <si>
    <t>Value</t>
  </si>
  <si>
    <t>Formula / Notes</t>
  </si>
  <si>
    <t>Gross Revenue (GR)</t>
  </si>
  <si>
    <t>Enter total quarterly revenue</t>
  </si>
  <si>
    <t>Operational Costs (OC)</t>
  </si>
  <si>
    <t>Enter quarterly operational costs</t>
  </si>
  <si>
    <t>Resource Costs (RC)</t>
  </si>
  <si>
    <t>Enter quarterly resource costs</t>
  </si>
  <si>
    <t>Reserve % (R%)</t>
  </si>
  <si>
    <t>Default 25% for taxes (can adjust)</t>
  </si>
  <si>
    <t>Reserve</t>
  </si>
  <si>
    <t>Net Profit Pool</t>
  </si>
  <si>
    <t>Founder A (35%)</t>
  </si>
  <si>
    <t>Founder B (35%)</t>
  </si>
  <si>
    <t>Salary Pool (20%)</t>
  </si>
  <si>
    <t>Bonus Pool (10%)</t>
  </si>
  <si>
    <t>Employee Salary (%)</t>
  </si>
  <si>
    <t>% From Salary Pool</t>
  </si>
  <si>
    <t>Employee A (10%)</t>
  </si>
  <si>
    <t>Employee B 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</si>
</sst>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3EA0F-0523-449B-9A74-D51DA6DC37DE}" name="Table1" displayName="Table1" ref="A1:C12" totalsRowShown="0">
  <autoFilter ref="A1:C12" xr:uid="{76A3EA0F-0523-449B-9A74-D51DA6DC37DE}"/>
  <tableColumns count="3">
    <tableColumn id="1" xr3:uid="{ECC78A5E-F126-4329-8CF8-E3AD9DABBD3A}" name="Input"/>
    <tableColumn id="2" xr3:uid="{E659BF1D-6B75-4531-85A7-C6A32F018C68}" name="Value"/>
    <tableColumn id="3" xr3:uid="{AE7343CD-0583-43A5-9EA5-51F61D7446D9}" name="Formula / 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6" sqref="C6"/>
    </sheetView>
  </sheetViews>
  <sheetFormatPr defaultRowHeight="15"/>
  <cols>
    <col min="1" max="1" width="24" customWidth="1"/>
    <col min="2" max="2" width="8.42578125" bestFit="1" customWidth="1"/>
    <col min="3" max="3" width="3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10000</v>
      </c>
      <c r="C2" t="s">
        <v>4</v>
      </c>
    </row>
    <row r="3" spans="1:3">
      <c r="A3" t="s">
        <v>5</v>
      </c>
      <c r="B3">
        <v>1000</v>
      </c>
      <c r="C3" t="s">
        <v>6</v>
      </c>
    </row>
    <row r="4" spans="1:3">
      <c r="A4" t="s">
        <v>7</v>
      </c>
      <c r="B4">
        <v>1000</v>
      </c>
      <c r="C4" t="s">
        <v>8</v>
      </c>
    </row>
    <row r="5" spans="1:3">
      <c r="A5" t="s">
        <v>9</v>
      </c>
      <c r="B5">
        <f>B2*0.25</f>
        <v>2500</v>
      </c>
      <c r="C5" t="s">
        <v>10</v>
      </c>
    </row>
    <row r="7" spans="1:3">
      <c r="A7" t="s">
        <v>11</v>
      </c>
      <c r="B7">
        <f>B5</f>
        <v>2500</v>
      </c>
    </row>
    <row r="8" spans="1:3">
      <c r="A8" t="s">
        <v>12</v>
      </c>
      <c r="B8">
        <f>B2-(B3+B4+B5)</f>
        <v>5500</v>
      </c>
    </row>
    <row r="9" spans="1:3">
      <c r="A9" t="s">
        <v>13</v>
      </c>
      <c r="B9">
        <f>B8*0.35</f>
        <v>1924.9999999999998</v>
      </c>
    </row>
    <row r="10" spans="1:3">
      <c r="A10" t="s">
        <v>14</v>
      </c>
      <c r="B10">
        <f>B8*0.35</f>
        <v>1924.9999999999998</v>
      </c>
    </row>
    <row r="11" spans="1:3">
      <c r="A11" t="s">
        <v>15</v>
      </c>
      <c r="B11">
        <f>B8*0.2</f>
        <v>1100</v>
      </c>
    </row>
    <row r="12" spans="1:3">
      <c r="A12" t="s">
        <v>16</v>
      </c>
      <c r="B12">
        <f>B8*0.1</f>
        <v>550</v>
      </c>
    </row>
    <row r="15" spans="1:3">
      <c r="A15" t="s">
        <v>17</v>
      </c>
      <c r="C15" t="s">
        <v>18</v>
      </c>
    </row>
    <row r="16" spans="1:3">
      <c r="A16" t="s">
        <v>19</v>
      </c>
      <c r="B16">
        <f>B11*0.5</f>
        <v>550</v>
      </c>
    </row>
    <row r="17" spans="1:2">
      <c r="A17" t="s">
        <v>20</v>
      </c>
      <c r="B17">
        <f>B11*0.5</f>
        <v>550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2025-09-18T18:18:12Z</dcterms:created>
  <dcterms:modified xsi:type="dcterms:W3CDTF">2025-09-19T05:14:02Z</dcterms:modified>
  <cp:category/>
  <cp:contentStatus/>
</cp:coreProperties>
</file>